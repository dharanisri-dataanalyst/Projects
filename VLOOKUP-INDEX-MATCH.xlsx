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EXCELS\"/>
    </mc:Choice>
  </mc:AlternateContent>
  <xr:revisionPtr revIDLastSave="0" documentId="13_ncr:1_{5959E672-040E-4730-8D4E-782A73FB447C}" xr6:coauthVersionLast="47" xr6:coauthVersionMax="47" xr10:uidLastSave="{00000000-0000-0000-0000-000000000000}"/>
  <bookViews>
    <workbookView xWindow="-110" yWindow="-110" windowWidth="19420" windowHeight="10300" activeTab="1" xr2:uid="{4832A7B4-CFCC-49A4-9248-888D340161E5}"/>
  </bookViews>
  <sheets>
    <sheet name="Sheet1" sheetId="1" r:id="rId1"/>
    <sheet name="vlookup-index-match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2" i="4"/>
  <c r="F1" i="4"/>
  <c r="H2" i="2" a="1"/>
  <c r="H2" i="2" s="1"/>
  <c r="H3" i="2" a="1"/>
  <c r="H3" i="2" s="1"/>
  <c r="H4" i="2" a="1"/>
  <c r="H4" i="2"/>
  <c r="H5" i="2" a="1"/>
  <c r="H5" i="2" s="1"/>
  <c r="H6" i="2" a="1"/>
  <c r="H6" i="2"/>
  <c r="H7" i="2" a="1"/>
  <c r="H7" i="2" s="1"/>
  <c r="G3" i="2"/>
  <c r="G4" i="2"/>
  <c r="G5" i="2"/>
  <c r="G6" i="2"/>
  <c r="G7" i="2"/>
  <c r="G2" i="2"/>
  <c r="C10" i="2"/>
  <c r="C9" i="2"/>
  <c r="C8" i="2"/>
  <c r="I3" i="3"/>
  <c r="I4" i="3"/>
  <c r="I5" i="3"/>
  <c r="I6" i="3"/>
  <c r="I2" i="3"/>
  <c r="F3" i="2"/>
  <c r="F4" i="2"/>
  <c r="F5" i="2"/>
  <c r="F6" i="2"/>
  <c r="F7" i="2"/>
  <c r="F2" i="2"/>
  <c r="B8" i="2"/>
  <c r="B9" i="2"/>
  <c r="B10" i="2"/>
  <c r="C3" i="2"/>
  <c r="C4" i="2"/>
  <c r="C5" i="2"/>
  <c r="C6" i="2"/>
  <c r="C7" i="2"/>
  <c r="B6" i="2"/>
  <c r="B7" i="2"/>
  <c r="B3" i="2"/>
  <c r="B4" i="2"/>
  <c r="B5" i="2"/>
  <c r="C2" i="2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<sst xmlns="http://schemas.openxmlformats.org/spreadsheetml/2006/main" count="83" uniqueCount="60">
  <si>
    <t>S.No</t>
  </si>
  <si>
    <t>Name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</si>
  <si>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</si>
  <si>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</si>
  <si>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</si>
  <si>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</si>
  <si>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</si>
  <si>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</si>
  <si>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</si>
  <si>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</si>
  <si>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</si>
  <si>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</si>
  <si>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Phone-No</t>
  </si>
  <si>
    <t>Salary</t>
  </si>
  <si>
    <t>S.NO</t>
  </si>
  <si>
    <t>phone</t>
  </si>
  <si>
    <t>D-NO</t>
  </si>
  <si>
    <t>Price</t>
  </si>
  <si>
    <t>Person</t>
  </si>
  <si>
    <t>Cust-No</t>
  </si>
  <si>
    <t>CUST001</t>
  </si>
  <si>
    <t>CUST005</t>
  </si>
  <si>
    <t>CUST002</t>
  </si>
  <si>
    <t>CUST003</t>
  </si>
  <si>
    <t>CUST004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</si>
  <si>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</si>
  <si>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</si>
  <si>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</si>
  <si>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</si>
  <si>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</si>
  <si>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</si>
  <si>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</si>
  <si>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</si>
  <si>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</si>
  <si>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</si>
  <si>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CUST006</t>
  </si>
  <si>
    <t>CUST007</t>
  </si>
  <si>
    <t>CUST008</t>
  </si>
  <si>
    <t>CUST009</t>
  </si>
  <si>
    <t>CUST010</t>
  </si>
  <si>
    <t>Dev-DATE</t>
  </si>
  <si>
    <t>13-02-2025</t>
  </si>
  <si>
    <t>14-02-2026</t>
  </si>
  <si>
    <t>15-02-2027</t>
  </si>
  <si>
    <t>16-02-2028</t>
  </si>
  <si>
    <t>17-02-2029</t>
  </si>
  <si>
    <t>18-02-2030</t>
  </si>
  <si>
    <t>19-02-2031</t>
  </si>
  <si>
    <t>20-02-2032</t>
  </si>
  <si>
    <t>21-02-2033</t>
  </si>
  <si>
    <t>22-02-2034</t>
  </si>
  <si>
    <t>Match-phone</t>
  </si>
  <si>
    <t>match-salary</t>
  </si>
  <si>
    <t>index</t>
  </si>
  <si>
    <t>index-</t>
  </si>
  <si>
    <t>index of two array</t>
  </si>
  <si>
    <t>index of two array seprated by -</t>
  </si>
  <si>
    <t>Match</t>
  </si>
  <si>
    <t>Index</t>
  </si>
  <si>
    <t>Vlookup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</si>
</sst>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55A9-64A5-451F-90BB-3AB91A1075B2}">
  <dimension ref="A1:D11"/>
  <sheetViews>
    <sheetView workbookViewId="0">
      <selection activeCell="D2" sqref="D2"/>
    </sheetView>
  </sheetViews>
  <sheetFormatPr defaultRowHeight="14.5" x14ac:dyDescent="0.35"/>
  <cols>
    <col min="3" max="3" width="10.81640625" bestFit="1" customWidth="1"/>
  </cols>
  <sheetData>
    <row r="1" spans="1:4" ht="16" x14ac:dyDescent="0.4">
      <c r="A1" s="1" t="s">
        <v>0</v>
      </c>
      <c r="B1" s="1" t="s">
        <v>1</v>
      </c>
      <c r="C1" s="1" t="s">
        <v>12</v>
      </c>
      <c r="D1" s="1" t="s">
        <v>13</v>
      </c>
    </row>
    <row r="2" spans="1:4" x14ac:dyDescent="0.35">
      <c r="A2">
        <v>1</v>
      </c>
      <c r="B2" t="s">
        <v>2</v>
      </c>
      <c r="C2">
        <v>9876543210</v>
      </c>
      <c r="D2">
        <v>1000</v>
      </c>
    </row>
    <row r="3" spans="1:4" x14ac:dyDescent="0.35">
      <c r="A3">
        <v>12</v>
      </c>
      <c r="B3" t="s">
        <v>3</v>
      </c>
      <c r="C3">
        <v>9876543211</v>
      </c>
      <c r="D3">
        <v>2000</v>
      </c>
    </row>
    <row r="4" spans="1:4" x14ac:dyDescent="0.35">
      <c r="A4">
        <v>14</v>
      </c>
      <c r="B4" t="s">
        <v>4</v>
      </c>
      <c r="C4">
        <v>9876543212</v>
      </c>
      <c r="D4">
        <v>4000</v>
      </c>
    </row>
    <row r="5" spans="1:4" x14ac:dyDescent="0.35">
      <c r="A5">
        <v>2</v>
      </c>
      <c r="B5" t="s">
        <v>5</v>
      </c>
      <c r="C5">
        <v>9876543213</v>
      </c>
      <c r="D5">
        <v>6000</v>
      </c>
    </row>
    <row r="6" spans="1:4" x14ac:dyDescent="0.35">
      <c r="A6">
        <v>3</v>
      </c>
      <c r="B6" t="s">
        <v>6</v>
      </c>
      <c r="C6">
        <v>9876543214</v>
      </c>
      <c r="D6">
        <v>8000</v>
      </c>
    </row>
    <row r="7" spans="1:4" x14ac:dyDescent="0.35">
      <c r="A7">
        <v>4</v>
      </c>
      <c r="B7" t="s">
        <v>7</v>
      </c>
      <c r="C7">
        <v>9876543215</v>
      </c>
      <c r="D7">
        <v>10000</v>
      </c>
    </row>
    <row r="8" spans="1:4" x14ac:dyDescent="0.35">
      <c r="A8">
        <v>7</v>
      </c>
      <c r="B8" t="s">
        <v>8</v>
      </c>
      <c r="C8">
        <v>9876543216</v>
      </c>
      <c r="D8">
        <v>12000</v>
      </c>
    </row>
    <row r="9" spans="1:4" x14ac:dyDescent="0.35">
      <c r="A9">
        <v>8</v>
      </c>
      <c r="B9" t="s">
        <v>9</v>
      </c>
      <c r="C9">
        <v>9876543217</v>
      </c>
      <c r="D9">
        <v>14000</v>
      </c>
    </row>
    <row r="10" spans="1:4" x14ac:dyDescent="0.35">
      <c r="A10">
        <v>9</v>
      </c>
      <c r="B10" t="s">
        <v>10</v>
      </c>
      <c r="C10">
        <v>9876543218</v>
      </c>
      <c r="D10">
        <v>16000</v>
      </c>
    </row>
    <row r="11" spans="1:4" x14ac:dyDescent="0.35">
      <c r="A11">
        <v>10</v>
      </c>
      <c r="B11" t="s">
        <v>11</v>
      </c>
      <c r="C11">
        <v>9876543219</v>
      </c>
      <c r="D11">
        <v>18000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7B1B0-635F-4A48-969A-79667A211119}">
  <dimension ref="A1:H13"/>
  <sheetViews>
    <sheetView tabSelected="1" workbookViewId="0">
      <selection activeCell="B2" sqref="B2"/>
    </sheetView>
  </sheetViews>
  <sheetFormatPr defaultRowHeight="14.5" x14ac:dyDescent="0.35"/>
  <cols>
    <col min="3" max="3" width="10.81640625" bestFit="1" customWidth="1"/>
    <col min="5" max="5" width="10.81640625" bestFit="1" customWidth="1"/>
    <col min="6" max="6" width="11.54296875" bestFit="1" customWidth="1"/>
    <col min="7" max="7" width="11.1796875" bestFit="1" customWidth="1"/>
    <col min="8" max="8" width="10.81640625" bestFit="1" customWidth="1"/>
  </cols>
  <sheetData>
    <row r="1" spans="1:8" x14ac:dyDescent="0.35">
      <c r="A1" t="s">
        <v>14</v>
      </c>
      <c r="B1" t="s">
        <v>13</v>
      </c>
      <c r="C1" t="s">
        <v>15</v>
      </c>
      <c r="F1" t="s">
        <v>51</v>
      </c>
      <c r="G1" t="s">
        <v>52</v>
      </c>
      <c r="H1" t="s">
        <v>53</v>
      </c>
    </row>
    <row r="2" spans="1:8" x14ac:dyDescent="0.35">
      <c r="A2">
        <v>1</v>
      </c>
      <c r="B2">
        <f>_xlfn.IFNA(VLOOKUP(A2,Sheet1!A:D,4,0),"no-Data")</f>
        <v>1000</v>
      </c>
      <c r="C2">
        <f>_xlfn.IFNA(VLOOKUP(A2,Sheet1!A2:D11,3,0),"No-data")</f>
        <v>9876543210</v>
      </c>
      <c r="E2">
        <v>9876543210</v>
      </c>
      <c r="F2">
        <f>MATCH(E2,Sheet1!C:C,0)</f>
        <v>2</v>
      </c>
      <c r="G2">
        <f>MATCH(Sheet1!D2,Sheet1!D:D,0)</f>
        <v>2</v>
      </c>
      <c r="H2" cm="1">
        <f t="array" ref="H2">INDEX('vlookup-index-match'!E:E,'vlookup-index-match'!F2)</f>
        <v>9876543210</v>
      </c>
    </row>
    <row r="3" spans="1:8" x14ac:dyDescent="0.35">
      <c r="A3">
        <v>14</v>
      </c>
      <c r="B3">
        <f>_xlfn.IFNA(VLOOKUP(A3,Sheet1!A:D,4,0),"no-Data")</f>
        <v>4000</v>
      </c>
      <c r="C3">
        <f>_xlfn.IFNA(VLOOKUP(A3,Sheet1!A3:D12,3,0),"No-data")</f>
        <v>9876543212</v>
      </c>
      <c r="E3">
        <v>9876543211</v>
      </c>
      <c r="F3">
        <f>MATCH(E3,Sheet1!C:C,0)</f>
        <v>3</v>
      </c>
      <c r="G3">
        <f>MATCH(Sheet1!D3,Sheet1!D:D,0)</f>
        <v>3</v>
      </c>
      <c r="H3" cm="1">
        <f t="array" ref="H3">INDEX('vlookup-index-match'!E:E,'vlookup-index-match'!F3)</f>
        <v>9876543211</v>
      </c>
    </row>
    <row r="4" spans="1:8" x14ac:dyDescent="0.35">
      <c r="A4">
        <v>13</v>
      </c>
      <c r="B4" t="str">
        <f>_xlfn.IFNA(VLOOKUP(A4,Sheet1!A:D,4,0),"no-Data")</f>
        <v>no-Data</v>
      </c>
      <c r="C4" t="str">
        <f>_xlfn.IFNA(VLOOKUP(A4,Sheet1!A4:D13,3,0),"No-data")</f>
        <v>No-data</v>
      </c>
      <c r="E4">
        <v>9876543212</v>
      </c>
      <c r="F4">
        <f>MATCH(E4,Sheet1!C:C,0)</f>
        <v>4</v>
      </c>
      <c r="G4">
        <f>MATCH(Sheet1!D4,Sheet1!D:D,0)</f>
        <v>4</v>
      </c>
      <c r="H4" cm="1">
        <f t="array" ref="H4">INDEX('vlookup-index-match'!E:E,'vlookup-index-match'!F4)</f>
        <v>9876543212</v>
      </c>
    </row>
    <row r="5" spans="1:8" x14ac:dyDescent="0.35">
      <c r="A5">
        <v>10</v>
      </c>
      <c r="B5">
        <f>_xlfn.IFNA(VLOOKUP(A5,Sheet1!A:D,4,0),"no-Data")</f>
        <v>18000</v>
      </c>
      <c r="C5">
        <f>_xlfn.IFNA(VLOOKUP(A5,Sheet1!A5:D14,3,0),"No-data")</f>
        <v>9876543219</v>
      </c>
      <c r="E5">
        <v>9876543213</v>
      </c>
      <c r="F5">
        <f>MATCH(E5,Sheet1!C:C,0)</f>
        <v>5</v>
      </c>
      <c r="G5">
        <f>MATCH(Sheet1!D5,Sheet1!D:D,0)</f>
        <v>5</v>
      </c>
      <c r="H5" cm="1">
        <f t="array" ref="H5">INDEX('vlookup-index-match'!E:E,'vlookup-index-match'!F5)</f>
        <v>9876543213</v>
      </c>
    </row>
    <row r="6" spans="1:8" x14ac:dyDescent="0.35">
      <c r="A6">
        <v>8</v>
      </c>
      <c r="B6">
        <f>_xlfn.IFNA(VLOOKUP(A6,Sheet1!A:D,4,0),"no-Data")</f>
        <v>14000</v>
      </c>
      <c r="C6">
        <f>_xlfn.IFNA(VLOOKUP(A6,Sheet1!A6:D15,3,0),"No-data")</f>
        <v>9876543217</v>
      </c>
      <c r="E6">
        <v>9876543214</v>
      </c>
      <c r="F6">
        <f>MATCH(E6,Sheet1!C:C,0)</f>
        <v>6</v>
      </c>
      <c r="G6">
        <f>MATCH(Sheet1!D6,Sheet1!D:D,0)</f>
        <v>6</v>
      </c>
      <c r="H6" cm="1">
        <f t="array" ref="H6">INDEX('vlookup-index-match'!E:E,'vlookup-index-match'!F6)</f>
        <v>9876543214</v>
      </c>
    </row>
    <row r="7" spans="1:8" x14ac:dyDescent="0.35">
      <c r="A7">
        <v>9</v>
      </c>
      <c r="B7">
        <f>_xlfn.IFNA(VLOOKUP(A7,Sheet1!A:D,4,0),"no-Data")</f>
        <v>16000</v>
      </c>
      <c r="C7">
        <f>_xlfn.IFNA(VLOOKUP(A7,Sheet1!A7:D16,3,0),"No-data")</f>
        <v>9876543218</v>
      </c>
      <c r="E7">
        <v>9876543215</v>
      </c>
      <c r="F7">
        <f>MATCH(E7,Sheet1!C:C,0)</f>
        <v>7</v>
      </c>
      <c r="G7">
        <f>MATCH(Sheet1!D7,Sheet1!D:D,0)</f>
        <v>7</v>
      </c>
      <c r="H7" cm="1">
        <f t="array" ref="H7">INDEX('vlookup-index-match'!E:E,'vlookup-index-match'!F7)</f>
        <v>9876543215</v>
      </c>
    </row>
    <row r="8" spans="1:8" x14ac:dyDescent="0.35">
      <c r="A8">
        <v>3</v>
      </c>
      <c r="B8">
        <f>_xlfn.IFNA(VLOOKUP(A8,Sheet1!A:D,4,0),"no-Data")</f>
        <v>8000</v>
      </c>
      <c r="C8">
        <f>_xlfn.IFNA(VLOOKUP(A8,Sheet1!A:D,3,FALSE),"no-data")</f>
        <v>9876543214</v>
      </c>
    </row>
    <row r="9" spans="1:8" x14ac:dyDescent="0.35">
      <c r="A9">
        <v>4</v>
      </c>
      <c r="B9">
        <f>_xlfn.IFNA(VLOOKUP(A9,Sheet1!A:D,4,0),"no-Data")</f>
        <v>10000</v>
      </c>
      <c r="C9">
        <f>VLOOKUP(A9,Sheet1!A:D,3,FALSE)</f>
        <v>9876543215</v>
      </c>
    </row>
    <row r="10" spans="1:8" x14ac:dyDescent="0.35">
      <c r="A10">
        <v>7</v>
      </c>
      <c r="B10">
        <f>_xlfn.IFNA(VLOOKUP(A10,Sheet1!A:D,4,0),"no-Data")</f>
        <v>12000</v>
      </c>
      <c r="C10">
        <f>VLOOKUP(A10,Sheet1!A:D,3,FALSE)</f>
        <v>9876543216</v>
      </c>
    </row>
    <row r="13" spans="1:8" ht="23.5" x14ac:dyDescent="0.55000000000000004">
      <c r="F13" s="3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E9D97-DDFC-451A-B0EB-9E02600CD5DF}">
  <dimension ref="A1:I13"/>
  <sheetViews>
    <sheetView workbookViewId="0">
      <selection activeCell="G13" sqref="G13"/>
    </sheetView>
  </sheetViews>
  <sheetFormatPr defaultRowHeight="14.5" x14ac:dyDescent="0.35"/>
  <cols>
    <col min="3" max="3" width="10.08984375" bestFit="1" customWidth="1"/>
    <col min="6" max="6" width="10.90625" bestFit="1" customWidth="1"/>
  </cols>
  <sheetData>
    <row r="1" spans="1:9" x14ac:dyDescent="0.35">
      <c r="A1" t="s">
        <v>16</v>
      </c>
      <c r="B1" t="s">
        <v>19</v>
      </c>
      <c r="C1" t="s">
        <v>40</v>
      </c>
      <c r="D1" t="s">
        <v>17</v>
      </c>
      <c r="E1" t="s">
        <v>18</v>
      </c>
      <c r="G1" t="s">
        <v>19</v>
      </c>
      <c r="H1" t="s">
        <v>18</v>
      </c>
    </row>
    <row r="2" spans="1:9" x14ac:dyDescent="0.35">
      <c r="A2" t="s">
        <v>25</v>
      </c>
      <c r="B2" t="s">
        <v>20</v>
      </c>
      <c r="C2" t="s">
        <v>41</v>
      </c>
      <c r="D2">
        <v>1000</v>
      </c>
      <c r="E2" t="s">
        <v>2</v>
      </c>
      <c r="G2" t="s">
        <v>20</v>
      </c>
      <c r="H2" t="s">
        <v>2</v>
      </c>
      <c r="I2" t="str">
        <f>INDEX(H:H,MATCH(B2,G:G,0))</f>
        <v>A</v>
      </c>
    </row>
    <row r="3" spans="1:9" x14ac:dyDescent="0.35">
      <c r="A3" t="s">
        <v>26</v>
      </c>
      <c r="B3" t="s">
        <v>22</v>
      </c>
      <c r="C3" t="s">
        <v>42</v>
      </c>
      <c r="D3">
        <v>2000</v>
      </c>
      <c r="E3" t="s">
        <v>3</v>
      </c>
      <c r="G3" t="s">
        <v>22</v>
      </c>
      <c r="H3" t="s">
        <v>3</v>
      </c>
      <c r="I3" t="str">
        <f t="shared" ref="I3:I6" si="0">INDEX(H:H,MATCH(B3,G:G,0))</f>
        <v>B</v>
      </c>
    </row>
    <row r="4" spans="1:9" x14ac:dyDescent="0.35">
      <c r="A4" t="s">
        <v>27</v>
      </c>
      <c r="B4" t="s">
        <v>23</v>
      </c>
      <c r="C4" t="s">
        <v>43</v>
      </c>
      <c r="D4">
        <v>3000</v>
      </c>
      <c r="E4" t="s">
        <v>4</v>
      </c>
      <c r="G4" t="s">
        <v>23</v>
      </c>
      <c r="H4" t="s">
        <v>4</v>
      </c>
      <c r="I4" t="str">
        <f t="shared" si="0"/>
        <v>C</v>
      </c>
    </row>
    <row r="5" spans="1:9" x14ac:dyDescent="0.35">
      <c r="A5" t="s">
        <v>28</v>
      </c>
      <c r="B5" t="s">
        <v>24</v>
      </c>
      <c r="C5" t="s">
        <v>44</v>
      </c>
      <c r="D5">
        <v>4000</v>
      </c>
      <c r="E5" t="s">
        <v>5</v>
      </c>
      <c r="G5" t="s">
        <v>24</v>
      </c>
      <c r="H5" t="s">
        <v>5</v>
      </c>
      <c r="I5" t="str">
        <f t="shared" si="0"/>
        <v>D</v>
      </c>
    </row>
    <row r="6" spans="1:9" x14ac:dyDescent="0.35">
      <c r="A6" t="s">
        <v>29</v>
      </c>
      <c r="B6" t="s">
        <v>21</v>
      </c>
      <c r="C6" t="s">
        <v>45</v>
      </c>
      <c r="D6">
        <v>5000</v>
      </c>
      <c r="E6" t="s">
        <v>2</v>
      </c>
      <c r="G6" t="s">
        <v>21</v>
      </c>
      <c r="H6" t="s">
        <v>6</v>
      </c>
      <c r="I6" t="str">
        <f t="shared" si="0"/>
        <v>E</v>
      </c>
    </row>
    <row r="7" spans="1:9" x14ac:dyDescent="0.35">
      <c r="A7" t="s">
        <v>30</v>
      </c>
      <c r="B7" t="s">
        <v>35</v>
      </c>
      <c r="C7" t="s">
        <v>46</v>
      </c>
      <c r="D7">
        <v>6000</v>
      </c>
      <c r="E7" t="s">
        <v>3</v>
      </c>
    </row>
    <row r="8" spans="1:9" x14ac:dyDescent="0.35">
      <c r="A8" t="s">
        <v>31</v>
      </c>
      <c r="B8" t="s">
        <v>36</v>
      </c>
      <c r="C8" t="s">
        <v>47</v>
      </c>
      <c r="D8">
        <v>7000</v>
      </c>
      <c r="E8" t="s">
        <v>6</v>
      </c>
    </row>
    <row r="9" spans="1:9" x14ac:dyDescent="0.35">
      <c r="A9" t="s">
        <v>32</v>
      </c>
      <c r="B9" t="s">
        <v>37</v>
      </c>
      <c r="C9" t="s">
        <v>48</v>
      </c>
      <c r="D9">
        <v>8000</v>
      </c>
      <c r="E9" t="s">
        <v>5</v>
      </c>
    </row>
    <row r="10" spans="1:9" x14ac:dyDescent="0.35">
      <c r="A10" t="s">
        <v>33</v>
      </c>
      <c r="B10" t="s">
        <v>38</v>
      </c>
      <c r="C10" t="s">
        <v>49</v>
      </c>
      <c r="D10">
        <v>9000</v>
      </c>
      <c r="E10" t="s">
        <v>2</v>
      </c>
    </row>
    <row r="11" spans="1:9" x14ac:dyDescent="0.35">
      <c r="A11" t="s">
        <v>34</v>
      </c>
      <c r="B11" t="s">
        <v>39</v>
      </c>
      <c r="C11" t="s">
        <v>50</v>
      </c>
      <c r="D11">
        <v>10000</v>
      </c>
      <c r="E11" t="s">
        <v>6</v>
      </c>
    </row>
    <row r="13" spans="1:9" ht="26" x14ac:dyDescent="0.6">
      <c r="G13" s="2" t="s">
        <v>57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FED94-2EE7-4ED4-9ED6-557BF8671918}">
  <dimension ref="A1:F12"/>
  <sheetViews>
    <sheetView workbookViewId="0">
      <selection activeCell="F8" sqref="F8"/>
    </sheetView>
  </sheetViews>
  <sheetFormatPr defaultRowHeight="14.5" x14ac:dyDescent="0.35"/>
  <cols>
    <col min="5" max="5" width="25.81640625" bestFit="1" customWidth="1"/>
  </cols>
  <sheetData>
    <row r="1" spans="1:6" x14ac:dyDescent="0.35">
      <c r="A1">
        <v>1</v>
      </c>
      <c r="B1">
        <v>2</v>
      </c>
      <c r="C1">
        <v>3</v>
      </c>
      <c r="D1">
        <v>4</v>
      </c>
      <c r="E1" t="s">
        <v>54</v>
      </c>
      <c r="F1">
        <f>INDEX(A1:D5,5,4)</f>
        <v>56</v>
      </c>
    </row>
    <row r="2" spans="1:6" x14ac:dyDescent="0.35">
      <c r="A2">
        <v>4</v>
      </c>
      <c r="B2">
        <v>19</v>
      </c>
      <c r="C2">
        <v>20</v>
      </c>
      <c r="D2">
        <v>21</v>
      </c>
      <c r="E2" t="s">
        <v>55</v>
      </c>
      <c r="F2">
        <f>INDEX((A1:D5,A8:D12),2,3,2)</f>
        <v>2</v>
      </c>
    </row>
    <row r="3" spans="1:6" x14ac:dyDescent="0.35">
      <c r="A3">
        <v>10</v>
      </c>
      <c r="B3">
        <v>11</v>
      </c>
      <c r="C3">
        <v>11</v>
      </c>
      <c r="D3">
        <v>12</v>
      </c>
      <c r="E3" t="s">
        <v>56</v>
      </c>
      <c r="F3" t="str">
        <f>INDEX((A1:D5,A8:D12),2,3,2)&amp;"-"&amp;INDEX((A1:D5,A8:D12),2,3,1)</f>
        <v>2-20</v>
      </c>
    </row>
    <row r="4" spans="1:6" x14ac:dyDescent="0.35">
      <c r="A4">
        <v>2</v>
      </c>
      <c r="B4">
        <v>4</v>
      </c>
      <c r="C4">
        <v>6</v>
      </c>
      <c r="D4">
        <v>8</v>
      </c>
    </row>
    <row r="5" spans="1:6" x14ac:dyDescent="0.35">
      <c r="A5">
        <v>8</v>
      </c>
      <c r="B5">
        <v>12</v>
      </c>
      <c r="C5">
        <v>19</v>
      </c>
      <c r="D5">
        <v>56</v>
      </c>
    </row>
    <row r="8" spans="1:6" ht="16" x14ac:dyDescent="0.4">
      <c r="A8">
        <v>20</v>
      </c>
      <c r="B8">
        <v>76</v>
      </c>
      <c r="C8">
        <v>15</v>
      </c>
      <c r="D8">
        <v>21</v>
      </c>
      <c r="F8" s="1" t="s">
        <v>58</v>
      </c>
    </row>
    <row r="9" spans="1:6" x14ac:dyDescent="0.35">
      <c r="A9">
        <v>12</v>
      </c>
      <c r="B9">
        <v>4</v>
      </c>
      <c r="C9">
        <v>2</v>
      </c>
      <c r="D9">
        <v>1</v>
      </c>
    </row>
    <row r="10" spans="1:6" x14ac:dyDescent="0.35">
      <c r="A10">
        <v>4</v>
      </c>
      <c r="B10">
        <v>5</v>
      </c>
      <c r="C10">
        <v>7</v>
      </c>
      <c r="D10">
        <v>9</v>
      </c>
    </row>
    <row r="11" spans="1:6" x14ac:dyDescent="0.35">
      <c r="A11">
        <v>2</v>
      </c>
      <c r="B11">
        <v>6</v>
      </c>
      <c r="C11">
        <v>4</v>
      </c>
      <c r="D11">
        <v>12</v>
      </c>
    </row>
    <row r="12" spans="1:6" x14ac:dyDescent="0.35">
      <c r="A12">
        <v>13</v>
      </c>
      <c r="B12">
        <v>15</v>
      </c>
      <c r="C12">
        <v>17</v>
      </c>
      <c r="D12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vlookup-index-match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dharani sri</dc:creator>
  <cp:lastModifiedBy>HP</cp:lastModifiedBy>
  <dcterms:created xsi:type="dcterms:W3CDTF">2025-02-13T02:42:09Z</dcterms:created>
  <dcterms:modified xsi:type="dcterms:W3CDTF">2025-04-03T05:50:05Z</dcterms:modified>
</cp:coreProperties>
</file>